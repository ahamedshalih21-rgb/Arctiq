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Abougharib\Dropbox\Cold SC Project\Shelf Life Estimation\04- Integration\Strawberry\Input Files\"/>
    </mc:Choice>
  </mc:AlternateContent>
  <xr:revisionPtr revIDLastSave="0" documentId="13_ncr:1_{BAA3CBE9-BE8F-4DFB-91CC-193B64D9ECD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key" sheetId="1" r:id="rId1"/>
    <sheet name="OneTimeInput" sheetId="4" r:id="rId2"/>
    <sheet name="Decay Profile" sheetId="5" r:id="rId3"/>
    <sheet name="Ks_Temp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4" l="1"/>
</calcChain>
</file>

<file path=xl/sharedStrings.xml><?xml version="1.0" encoding="utf-8"?>
<sst xmlns="http://schemas.openxmlformats.org/spreadsheetml/2006/main" count="138" uniqueCount="92">
  <si>
    <t>temp</t>
  </si>
  <si>
    <t>CO2</t>
  </si>
  <si>
    <t>To_L</t>
  </si>
  <si>
    <t>To_U</t>
  </si>
  <si>
    <t>MSL_L</t>
  </si>
  <si>
    <t>MSL_U</t>
  </si>
  <si>
    <t>Thermal Properties</t>
  </si>
  <si>
    <t>h</t>
  </si>
  <si>
    <t>ST</t>
  </si>
  <si>
    <t>Description</t>
  </si>
  <si>
    <t>Variable Name</t>
  </si>
  <si>
    <t>unit</t>
  </si>
  <si>
    <t>Lower limit</t>
  </si>
  <si>
    <t>Upper limit</t>
  </si>
  <si>
    <t>days</t>
  </si>
  <si>
    <t>Estimated Shelf Life at Depot (if available)</t>
  </si>
  <si>
    <t>Shelf life spent since harvest till arrival to Depot</t>
  </si>
  <si>
    <t>Optimal temperature</t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</si>
  <si>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</si>
  <si>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</si>
  <si>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r>
      <t>W/m.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</si>
  <si>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°C</t>
  </si>
  <si>
    <t>m</t>
  </si>
  <si>
    <t>Symmetry type (0= slab, 1= cylindrical, 2=spherical)</t>
  </si>
  <si>
    <t>Decay Profile</t>
  </si>
  <si>
    <t>Shelf Life Information</t>
  </si>
  <si>
    <t>Max Shelf Life @Optimal Temperature (Lower Limit)</t>
  </si>
  <si>
    <t>Max Shelf Life @Optimal Temperature (Upper Limit)</t>
  </si>
  <si>
    <t>Input Type</t>
  </si>
  <si>
    <t>SL0</t>
  </si>
  <si>
    <t>Thermal diffusivity of fruit</t>
  </si>
  <si>
    <t>Thermal conductivity of fruit</t>
  </si>
  <si>
    <t>Apparent Density of fruit</t>
  </si>
  <si>
    <t>Convection Coefficient (if available)</t>
  </si>
  <si>
    <t>m_h</t>
  </si>
  <si>
    <t>n_h</t>
  </si>
  <si>
    <t>a_h</t>
  </si>
  <si>
    <t>Dimensionless</t>
  </si>
  <si>
    <t>Environmental Conditions</t>
  </si>
  <si>
    <t>Average air velocity</t>
  </si>
  <si>
    <t>V</t>
  </si>
  <si>
    <t>m/s</t>
  </si>
  <si>
    <t>Lc</t>
  </si>
  <si>
    <t>alpha_s</t>
  </si>
  <si>
    <t>k_s</t>
  </si>
  <si>
    <t>rho_s</t>
  </si>
  <si>
    <t>Source</t>
  </si>
  <si>
    <t>ASHRAE Handbook of Refrigeration (2018), Chapter 21, Table 1 (page 352)</t>
  </si>
  <si>
    <t>Distributor</t>
  </si>
  <si>
    <t>ASHRAE Handbook of Refrigeration (2018), Chapter 19, Table 7 (page 321)</t>
  </si>
  <si>
    <t>ASHRAE Handbook of Refrigeration (2018), Chapter 19, Table 5 (page 315)</t>
  </si>
  <si>
    <t>In-Situ Measurement, Experimental Literature on a similar system, or Finite Element Analysis</t>
  </si>
  <si>
    <t>USDA Handbook 66, Table 1 (page 7)</t>
  </si>
  <si>
    <t>ASHRAE Handbook of Refrigeration (2018), Chapter 19, Table 13 (page 328)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</si>
  <si>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</t>
    </r>
  </si>
  <si>
    <t>Note</t>
  </si>
  <si>
    <r>
      <t>1 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/s=1e-6 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</t>
    </r>
  </si>
  <si>
    <t>Temp</t>
  </si>
  <si>
    <r>
      <t xml:space="preserve">In cooling time calculations, the characteristic dimension </t>
    </r>
    <r>
      <rPr>
        <i/>
        <sz val="10"/>
        <color theme="1"/>
        <rFont val="Times New Roman"/>
        <family val="1"/>
      </rPr>
      <t xml:space="preserve">L </t>
    </r>
    <r>
      <rPr>
        <sz val="10"/>
        <color theme="1"/>
        <rFont val="Times New Roman"/>
        <family val="1"/>
      </rPr>
      <t xml:space="preserve">is taken to be the shortest distance from the thermal center of the food to its surface. Thus, in cooling time calculations, </t>
    </r>
    <r>
      <rPr>
        <i/>
        <sz val="10"/>
        <color theme="1"/>
        <rFont val="Times New Roman"/>
        <family val="1"/>
      </rPr>
      <t xml:space="preserve">L </t>
    </r>
    <r>
      <rPr>
        <sz val="10"/>
        <color theme="1"/>
        <rFont val="Times New Roman"/>
        <family val="1"/>
      </rPr>
      <t>is half the thickness of a slab, or the radius of a cylinder or a sphere.</t>
    </r>
  </si>
  <si>
    <t>storageTime</t>
  </si>
  <si>
    <r>
      <t>mL CO</t>
    </r>
    <r>
      <rPr>
        <vertAlign val="sub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kg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hr</t>
    </r>
    <r>
      <rPr>
        <vertAlign val="superscript"/>
        <sz val="11"/>
        <color theme="1"/>
        <rFont val="Calibri"/>
        <family val="2"/>
        <scheme val="minor"/>
      </rPr>
      <t>-1</t>
    </r>
  </si>
  <si>
    <t>q_h</t>
  </si>
  <si>
    <t>Freezing temperature</t>
  </si>
  <si>
    <t>Tf</t>
  </si>
  <si>
    <t>ASHRAE Handbook of Refrigeration (2018), Chapter 19, page 19.3</t>
  </si>
  <si>
    <t>Specific heat capacity above freezing point</t>
  </si>
  <si>
    <t>cps_a</t>
  </si>
  <si>
    <t>J/kg.K</t>
  </si>
  <si>
    <t xml:space="preserve">Specific heat capacity below freezing point </t>
  </si>
  <si>
    <t>cps_b</t>
  </si>
  <si>
    <r>
      <t xml:space="preserve">If the convection coefficient is unknown, find an empirical equation of the form: {Nu=a Re^n * Pr^m * Gr^q} where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m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q</t>
    </r>
    <r>
      <rPr>
        <sz val="11"/>
        <color theme="1"/>
        <rFont val="Calibri"/>
        <family val="2"/>
        <scheme val="minor"/>
      </rPr>
      <t xml:space="preserve"> are parameters, specific to the fruit, packaging and cooling method. The parameters appear here and in the code appended with '_h' to avoid variable name conflicts</t>
    </r>
  </si>
  <si>
    <t>CO2Conc</t>
  </si>
  <si>
    <t>Geometry and Physical Properties</t>
  </si>
  <si>
    <t>Is the product in an air-tight packaging? Y/N</t>
  </si>
  <si>
    <t>IsAirTight</t>
  </si>
  <si>
    <t>Mass of product per package</t>
  </si>
  <si>
    <t>massprd</t>
  </si>
  <si>
    <t>kg</t>
  </si>
  <si>
    <t>Required only if product is in air-tight packaging.</t>
  </si>
  <si>
    <t>Respiration rate of the product at given temperatures, storage times, and CO2 concentrations</t>
  </si>
  <si>
    <t>minutes</t>
  </si>
  <si>
    <t>v/v</t>
  </si>
  <si>
    <t>Maximum CO2 concentration tolerated</t>
  </si>
  <si>
    <t>maxCO2Conc</t>
  </si>
  <si>
    <t xml:space="preserve">C. B. Watkins and J. F. Nock, “2012 Production Guide for Storage of Organic Fruits and Vegetables,” Department of Horticulture, Cornell University, New York, NYS IPM Publication No. 10.  [Online]. </t>
  </si>
  <si>
    <t>N</t>
  </si>
  <si>
    <t>Characteristic Length of a single fruit or if bunched leafy vegetable: Consider the geometry of the the bulk of bunched leaves.</t>
  </si>
  <si>
    <t>Volume of headspace air</t>
  </si>
  <si>
    <t>Vhsair</t>
  </si>
  <si>
    <t>mL</t>
  </si>
  <si>
    <t>Air fraction in bunched product (0 to 1)</t>
  </si>
  <si>
    <t>tpairfrac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</si>
</sst>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1" fontId="0" fillId="3" borderId="1" xfId="0" applyNumberFormat="1" applyFill="1" applyBorder="1"/>
    <xf numFmtId="0" fontId="0" fillId="0" borderId="5" xfId="0" applyBorder="1"/>
    <xf numFmtId="0" fontId="0" fillId="4" borderId="5" xfId="0" applyFill="1" applyBorder="1" applyAlignment="1">
      <alignment horizontal="center"/>
    </xf>
    <xf numFmtId="0" fontId="0" fillId="0" borderId="1" xfId="0" applyBorder="1" applyAlignment="1">
      <alignment wrapText="1"/>
    </xf>
    <xf numFmtId="2" fontId="0" fillId="0" borderId="0" xfId="0" applyNumberFormat="1"/>
    <xf numFmtId="164" fontId="0" fillId="0" borderId="0" xfId="0" applyNumberFormat="1"/>
    <xf numFmtId="0" fontId="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/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9" fillId="0" borderId="0" xfId="1" applyAlignment="1">
      <alignment horizontal="left" vertical="center" indent="1"/>
    </xf>
    <xf numFmtId="2" fontId="0" fillId="3" borderId="1" xfId="0" applyNumberFormat="1" applyFill="1" applyBorder="1"/>
    <xf numFmtId="0" fontId="5" fillId="0" borderId="5" xfId="0" applyFont="1" applyBorder="1" applyAlignment="1">
      <alignment vertical="center"/>
    </xf>
    <xf numFmtId="0" fontId="9" fillId="0" borderId="1" xfId="1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5" fontId="0" fillId="0" borderId="0" xfId="0" applyNumberFormat="1"/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antpathology.ces.ncsu.edu/wp-content/uploads/2013/12/stored_fruit_veg.pdf?fwd=n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2688-435A-41B0-A885-719B24785D3B}">
  <dimension ref="A1:F35"/>
  <sheetViews>
    <sheetView zoomScale="55" zoomScaleNormal="55" workbookViewId="0">
      <selection sqref="A1:F32"/>
    </sheetView>
  </sheetViews>
  <sheetFormatPr defaultRowHeight="14.5" x14ac:dyDescent="0.35"/>
  <cols>
    <col min="1" max="1" width="27.26953125" customWidth="1"/>
    <col min="2" max="2" width="44.54296875" style="22" customWidth="1"/>
    <col min="3" max="3" width="13.08984375" style="22" bestFit="1" customWidth="1"/>
    <col min="4" max="4" width="13.54296875" style="22" bestFit="1" customWidth="1"/>
    <col min="5" max="5" width="64.6328125" customWidth="1"/>
    <col min="6" max="6" width="62.26953125" customWidth="1"/>
    <col min="7" max="16384" width="8.7265625" style="12"/>
  </cols>
  <sheetData>
    <row r="1" spans="1:6" x14ac:dyDescent="0.35">
      <c r="A1" s="13" t="s">
        <v>28</v>
      </c>
      <c r="B1" s="13" t="s">
        <v>9</v>
      </c>
      <c r="C1" s="13" t="s">
        <v>10</v>
      </c>
      <c r="D1" s="13" t="s">
        <v>11</v>
      </c>
      <c r="E1" s="14" t="s">
        <v>46</v>
      </c>
      <c r="F1" s="15" t="s">
        <v>55</v>
      </c>
    </row>
    <row r="2" spans="1:6" ht="14.5" customHeight="1" x14ac:dyDescent="0.35">
      <c r="A2" s="33" t="s">
        <v>17</v>
      </c>
      <c r="B2" s="29" t="s">
        <v>12</v>
      </c>
      <c r="C2" s="29" t="s">
        <v>2</v>
      </c>
      <c r="D2" s="29" t="s">
        <v>21</v>
      </c>
      <c r="E2" s="34" t="s">
        <v>47</v>
      </c>
    </row>
    <row r="3" spans="1:6" x14ac:dyDescent="0.35">
      <c r="A3" s="33"/>
      <c r="B3" s="29" t="s">
        <v>13</v>
      </c>
      <c r="C3" s="29" t="s">
        <v>3</v>
      </c>
      <c r="D3" s="29" t="s">
        <v>21</v>
      </c>
      <c r="E3" s="34"/>
    </row>
    <row r="4" spans="1:6" ht="14.5" customHeight="1" x14ac:dyDescent="0.35">
      <c r="A4" s="33" t="s">
        <v>25</v>
      </c>
      <c r="B4" s="29" t="s">
        <v>26</v>
      </c>
      <c r="C4" s="29" t="s">
        <v>4</v>
      </c>
      <c r="D4" s="29" t="s">
        <v>14</v>
      </c>
      <c r="E4" s="34"/>
    </row>
    <row r="5" spans="1:6" x14ac:dyDescent="0.35">
      <c r="A5" s="33"/>
      <c r="B5" s="29" t="s">
        <v>27</v>
      </c>
      <c r="C5" s="29" t="s">
        <v>5</v>
      </c>
      <c r="D5" s="29" t="s">
        <v>14</v>
      </c>
      <c r="E5" s="34"/>
    </row>
    <row r="6" spans="1:6" x14ac:dyDescent="0.35">
      <c r="A6" s="33"/>
      <c r="B6" s="29" t="s">
        <v>15</v>
      </c>
      <c r="C6" s="29" t="s">
        <v>29</v>
      </c>
      <c r="D6" s="29" t="s">
        <v>14</v>
      </c>
      <c r="E6" s="39" t="s">
        <v>48</v>
      </c>
    </row>
    <row r="7" spans="1:6" x14ac:dyDescent="0.35">
      <c r="A7" s="33"/>
      <c r="B7" s="29" t="s">
        <v>16</v>
      </c>
      <c r="C7" s="29" t="s">
        <v>8</v>
      </c>
      <c r="D7" s="29" t="s">
        <v>14</v>
      </c>
      <c r="E7" s="39"/>
    </row>
    <row r="8" spans="1:6" ht="16.5" x14ac:dyDescent="0.35">
      <c r="A8" s="45" t="s">
        <v>6</v>
      </c>
      <c r="B8" s="29" t="s">
        <v>30</v>
      </c>
      <c r="C8" s="29" t="s">
        <v>43</v>
      </c>
      <c r="D8" s="29" t="s">
        <v>54</v>
      </c>
      <c r="E8" s="8" t="s">
        <v>49</v>
      </c>
      <c r="F8" s="16" t="s">
        <v>56</v>
      </c>
    </row>
    <row r="9" spans="1:6" x14ac:dyDescent="0.35">
      <c r="A9" s="46"/>
      <c r="B9" s="39" t="s">
        <v>31</v>
      </c>
      <c r="C9" s="39" t="s">
        <v>44</v>
      </c>
      <c r="D9" s="39" t="s">
        <v>20</v>
      </c>
      <c r="E9" s="34" t="s">
        <v>50</v>
      </c>
    </row>
    <row r="10" spans="1:6" x14ac:dyDescent="0.35">
      <c r="A10" s="46"/>
      <c r="B10" s="39"/>
      <c r="C10" s="39"/>
      <c r="D10" s="39"/>
      <c r="E10" s="34"/>
    </row>
    <row r="11" spans="1:6" x14ac:dyDescent="0.35">
      <c r="A11" s="46"/>
      <c r="B11" s="39"/>
      <c r="C11" s="39"/>
      <c r="D11" s="39"/>
      <c r="E11" s="34"/>
    </row>
    <row r="12" spans="1:6" x14ac:dyDescent="0.35">
      <c r="A12" s="46"/>
      <c r="B12" s="29" t="s">
        <v>62</v>
      </c>
      <c r="C12" s="29" t="s">
        <v>63</v>
      </c>
      <c r="D12" s="29" t="s">
        <v>21</v>
      </c>
      <c r="E12" s="40" t="s">
        <v>64</v>
      </c>
    </row>
    <row r="13" spans="1:6" x14ac:dyDescent="0.35">
      <c r="A13" s="46"/>
      <c r="B13" s="17" t="s">
        <v>65</v>
      </c>
      <c r="C13" s="29" t="s">
        <v>66</v>
      </c>
      <c r="D13" s="43" t="s">
        <v>67</v>
      </c>
      <c r="E13" s="41"/>
    </row>
    <row r="14" spans="1:6" x14ac:dyDescent="0.35">
      <c r="A14" s="46"/>
      <c r="B14" s="17" t="s">
        <v>68</v>
      </c>
      <c r="C14" s="29" t="s">
        <v>69</v>
      </c>
      <c r="D14" s="44"/>
      <c r="E14" s="42"/>
    </row>
    <row r="15" spans="1:6" ht="16.5" x14ac:dyDescent="0.35">
      <c r="A15" s="46"/>
      <c r="B15" s="29" t="s">
        <v>33</v>
      </c>
      <c r="C15" s="29" t="s">
        <v>7</v>
      </c>
      <c r="D15" s="29" t="s">
        <v>19</v>
      </c>
      <c r="E15" s="39" t="s">
        <v>53</v>
      </c>
    </row>
    <row r="16" spans="1:6" ht="14.5" customHeight="1" x14ac:dyDescent="0.35">
      <c r="A16" s="46"/>
      <c r="B16" s="40" t="s">
        <v>70</v>
      </c>
      <c r="C16" s="29" t="s">
        <v>36</v>
      </c>
      <c r="D16" s="29" t="s">
        <v>37</v>
      </c>
      <c r="E16" s="39"/>
    </row>
    <row r="17" spans="1:6" x14ac:dyDescent="0.35">
      <c r="A17" s="46"/>
      <c r="B17" s="41"/>
      <c r="C17" s="29" t="s">
        <v>34</v>
      </c>
      <c r="D17" s="29" t="s">
        <v>37</v>
      </c>
      <c r="E17" s="39"/>
    </row>
    <row r="18" spans="1:6" x14ac:dyDescent="0.35">
      <c r="A18" s="46"/>
      <c r="B18" s="41"/>
      <c r="C18" s="29" t="s">
        <v>35</v>
      </c>
      <c r="D18" s="29" t="s">
        <v>37</v>
      </c>
      <c r="E18" s="39"/>
    </row>
    <row r="19" spans="1:6" x14ac:dyDescent="0.35">
      <c r="A19" s="47"/>
      <c r="B19" s="42"/>
      <c r="C19" s="29" t="s">
        <v>61</v>
      </c>
      <c r="D19" s="29" t="s">
        <v>37</v>
      </c>
      <c r="E19" s="39"/>
    </row>
    <row r="20" spans="1:6" ht="14.5" customHeight="1" x14ac:dyDescent="0.35">
      <c r="A20" s="33" t="s">
        <v>72</v>
      </c>
      <c r="B20" s="29" t="s">
        <v>23</v>
      </c>
      <c r="C20" s="29" t="s">
        <v>22</v>
      </c>
      <c r="D20" s="29" t="s">
        <v>37</v>
      </c>
      <c r="E20" s="39"/>
    </row>
    <row r="21" spans="1:6" ht="52" x14ac:dyDescent="0.35">
      <c r="A21" s="33"/>
      <c r="B21" s="30" t="s">
        <v>86</v>
      </c>
      <c r="C21" s="29" t="s">
        <v>42</v>
      </c>
      <c r="D21" s="29" t="s">
        <v>22</v>
      </c>
      <c r="E21" s="39"/>
      <c r="F21" s="18" t="s">
        <v>58</v>
      </c>
    </row>
    <row r="22" spans="1:6" ht="16.5" x14ac:dyDescent="0.35">
      <c r="A22" s="33"/>
      <c r="B22" s="29" t="s">
        <v>32</v>
      </c>
      <c r="C22" s="29" t="s">
        <v>45</v>
      </c>
      <c r="D22" s="29" t="s">
        <v>18</v>
      </c>
      <c r="E22" s="29" t="s">
        <v>50</v>
      </c>
      <c r="F22" s="11"/>
    </row>
    <row r="23" spans="1:6" x14ac:dyDescent="0.35">
      <c r="A23" s="33"/>
      <c r="B23" s="29" t="s">
        <v>73</v>
      </c>
      <c r="C23" s="29" t="s">
        <v>74</v>
      </c>
      <c r="D23" s="29"/>
      <c r="E23" s="35" t="s">
        <v>48</v>
      </c>
      <c r="F23" s="11"/>
    </row>
    <row r="24" spans="1:6" x14ac:dyDescent="0.35">
      <c r="A24" s="33"/>
      <c r="B24" s="29" t="s">
        <v>75</v>
      </c>
      <c r="C24" s="29" t="s">
        <v>76</v>
      </c>
      <c r="D24" s="29" t="s">
        <v>77</v>
      </c>
      <c r="E24" s="36"/>
      <c r="F24" s="38" t="s">
        <v>78</v>
      </c>
    </row>
    <row r="25" spans="1:6" x14ac:dyDescent="0.35">
      <c r="A25" s="33"/>
      <c r="B25" s="29" t="s">
        <v>87</v>
      </c>
      <c r="C25" s="29" t="s">
        <v>88</v>
      </c>
      <c r="D25" s="29" t="s">
        <v>89</v>
      </c>
      <c r="E25" s="36"/>
      <c r="F25" s="38"/>
    </row>
    <row r="26" spans="1:6" ht="14.5" customHeight="1" x14ac:dyDescent="0.35">
      <c r="A26" s="33"/>
      <c r="B26" s="29" t="s">
        <v>90</v>
      </c>
      <c r="C26" s="29" t="s">
        <v>91</v>
      </c>
      <c r="D26" s="29" t="s">
        <v>37</v>
      </c>
      <c r="E26" s="37"/>
      <c r="F26" s="38"/>
    </row>
    <row r="27" spans="1:6" x14ac:dyDescent="0.35">
      <c r="A27" s="33" t="s">
        <v>24</v>
      </c>
      <c r="B27" s="34" t="s">
        <v>79</v>
      </c>
      <c r="C27" s="29" t="s">
        <v>0</v>
      </c>
      <c r="D27" s="29" t="s">
        <v>21</v>
      </c>
      <c r="E27" s="35" t="s">
        <v>52</v>
      </c>
      <c r="F27" s="19"/>
    </row>
    <row r="28" spans="1:6" x14ac:dyDescent="0.35">
      <c r="A28" s="33"/>
      <c r="B28" s="34"/>
      <c r="C28" s="29" t="s">
        <v>59</v>
      </c>
      <c r="D28" s="29" t="s">
        <v>80</v>
      </c>
      <c r="E28" s="36"/>
    </row>
    <row r="29" spans="1:6" x14ac:dyDescent="0.35">
      <c r="A29" s="33"/>
      <c r="B29" s="34"/>
      <c r="C29" s="29" t="s">
        <v>71</v>
      </c>
      <c r="D29" s="29" t="s">
        <v>81</v>
      </c>
      <c r="E29" s="36"/>
      <c r="F29" s="19"/>
    </row>
    <row r="30" spans="1:6" ht="16.5" x14ac:dyDescent="0.35">
      <c r="A30" s="33"/>
      <c r="B30" s="34"/>
      <c r="C30" s="29" t="s">
        <v>1</v>
      </c>
      <c r="D30" s="29" t="s">
        <v>60</v>
      </c>
      <c r="E30" s="36"/>
      <c r="F30" s="26"/>
    </row>
    <row r="31" spans="1:6" ht="43.5" x14ac:dyDescent="0.35">
      <c r="A31" s="33"/>
      <c r="B31" s="20" t="s">
        <v>82</v>
      </c>
      <c r="C31" s="29" t="s">
        <v>83</v>
      </c>
      <c r="D31" s="29" t="s">
        <v>81</v>
      </c>
      <c r="E31" s="27" t="s">
        <v>84</v>
      </c>
      <c r="F31" s="29" t="s">
        <v>78</v>
      </c>
    </row>
    <row r="32" spans="1:6" ht="29" x14ac:dyDescent="0.35">
      <c r="A32" s="21" t="s">
        <v>38</v>
      </c>
      <c r="B32" s="29" t="s">
        <v>39</v>
      </c>
      <c r="C32" s="29" t="s">
        <v>40</v>
      </c>
      <c r="D32" s="29" t="s">
        <v>41</v>
      </c>
      <c r="E32" s="31" t="s">
        <v>51</v>
      </c>
      <c r="F32" s="6"/>
    </row>
    <row r="34" spans="5:5" x14ac:dyDescent="0.35">
      <c r="E34" s="23"/>
    </row>
    <row r="35" spans="5:5" x14ac:dyDescent="0.35">
      <c r="E35" s="24"/>
    </row>
  </sheetData>
  <mergeCells count="19">
    <mergeCell ref="A2:A3"/>
    <mergeCell ref="A4:A7"/>
    <mergeCell ref="A8:A19"/>
    <mergeCell ref="B9:B11"/>
    <mergeCell ref="C9:C11"/>
    <mergeCell ref="F24:F26"/>
    <mergeCell ref="D9:D11"/>
    <mergeCell ref="E9:E11"/>
    <mergeCell ref="B16:B19"/>
    <mergeCell ref="E2:E5"/>
    <mergeCell ref="E6:E7"/>
    <mergeCell ref="E12:E14"/>
    <mergeCell ref="D13:D14"/>
    <mergeCell ref="E15:E21"/>
    <mergeCell ref="A20:A26"/>
    <mergeCell ref="A27:A31"/>
    <mergeCell ref="B27:B30"/>
    <mergeCell ref="E27:E30"/>
    <mergeCell ref="E23:E26"/>
  </mergeCells>
  <hyperlinks>
    <hyperlink ref="E31" r:id="rId1" xr:uid="{40EC53C7-161D-4667-B52C-09A28F21DDD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A624-5C30-4FEF-91E7-F713172A40F4}">
  <dimension ref="A1:Y2"/>
  <sheetViews>
    <sheetView tabSelected="1" topLeftCell="H1" workbookViewId="0">
      <selection activeCell="S2" sqref="S2"/>
    </sheetView>
  </sheetViews>
  <sheetFormatPr defaultRowHeight="14.5" x14ac:dyDescent="0.35"/>
  <cols>
    <col min="1" max="1" width="10.08984375" bestFit="1" customWidth="1"/>
    <col min="7" max="7" width="10.36328125" bestFit="1" customWidth="1"/>
    <col min="13" max="13" width="11.08984375" bestFit="1" customWidth="1"/>
    <col min="25" max="25" width="11.90625" bestFit="1" customWidth="1"/>
  </cols>
  <sheetData>
    <row r="1" spans="1:25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29</v>
      </c>
      <c r="F1" s="3" t="s">
        <v>8</v>
      </c>
      <c r="G1" s="3" t="s">
        <v>43</v>
      </c>
      <c r="H1" s="3" t="s">
        <v>44</v>
      </c>
      <c r="I1" s="3" t="s">
        <v>45</v>
      </c>
      <c r="J1" s="3" t="s">
        <v>74</v>
      </c>
      <c r="K1" s="3" t="s">
        <v>76</v>
      </c>
      <c r="L1" s="3" t="s">
        <v>63</v>
      </c>
      <c r="M1" s="3" t="s">
        <v>66</v>
      </c>
      <c r="N1" s="3" t="s">
        <v>69</v>
      </c>
      <c r="O1" s="3" t="s">
        <v>7</v>
      </c>
      <c r="P1" s="3" t="s">
        <v>22</v>
      </c>
      <c r="Q1" s="3" t="s">
        <v>42</v>
      </c>
      <c r="R1" s="3" t="s">
        <v>91</v>
      </c>
      <c r="S1" s="3" t="s">
        <v>88</v>
      </c>
      <c r="T1" s="3" t="s">
        <v>36</v>
      </c>
      <c r="U1" s="3" t="s">
        <v>34</v>
      </c>
      <c r="V1" s="3" t="s">
        <v>35</v>
      </c>
      <c r="W1" s="3" t="s">
        <v>61</v>
      </c>
      <c r="X1" s="3" t="s">
        <v>40</v>
      </c>
      <c r="Y1" s="3" t="s">
        <v>83</v>
      </c>
    </row>
    <row r="2" spans="1:25" x14ac:dyDescent="0.35">
      <c r="A2" s="1">
        <v>0</v>
      </c>
      <c r="B2" s="1">
        <v>5</v>
      </c>
      <c r="C2" s="1">
        <v>7</v>
      </c>
      <c r="D2" s="1">
        <v>10</v>
      </c>
      <c r="E2" s="4">
        <v>6</v>
      </c>
      <c r="F2" s="4"/>
      <c r="G2" s="2"/>
      <c r="H2" s="1"/>
      <c r="I2" s="1">
        <v>800</v>
      </c>
      <c r="J2" s="1" t="s">
        <v>85</v>
      </c>
      <c r="K2" s="1"/>
      <c r="L2" s="1">
        <v>-0.8</v>
      </c>
      <c r="M2" s="2">
        <v>4000</v>
      </c>
      <c r="N2" s="2">
        <v>1840</v>
      </c>
      <c r="O2" s="4"/>
      <c r="P2" s="4">
        <v>2</v>
      </c>
      <c r="Q2" s="5">
        <f>0.01474</f>
        <v>1.474E-2</v>
      </c>
      <c r="R2" s="25"/>
      <c r="S2" s="25"/>
      <c r="T2" s="1">
        <v>0.121</v>
      </c>
      <c r="U2" s="1">
        <v>0</v>
      </c>
      <c r="V2" s="1">
        <v>0.56000000000000005</v>
      </c>
      <c r="W2" s="1">
        <v>0</v>
      </c>
      <c r="X2" s="1">
        <v>0.22</v>
      </c>
      <c r="Y2" s="1">
        <v>0.15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0632-BAC5-45EC-A272-7219C301C0CE}">
  <dimension ref="A1:D11"/>
  <sheetViews>
    <sheetView workbookViewId="0">
      <selection activeCell="D2" sqref="D2:D11"/>
    </sheetView>
  </sheetViews>
  <sheetFormatPr defaultRowHeight="14.5" x14ac:dyDescent="0.35"/>
  <cols>
    <col min="2" max="2" width="10.7265625" bestFit="1" customWidth="1"/>
  </cols>
  <sheetData>
    <row r="1" spans="1:4" x14ac:dyDescent="0.35">
      <c r="A1" s="7" t="s">
        <v>0</v>
      </c>
      <c r="B1" s="7" t="s">
        <v>59</v>
      </c>
      <c r="C1" s="7" t="s">
        <v>71</v>
      </c>
      <c r="D1" s="7" t="s">
        <v>1</v>
      </c>
    </row>
    <row r="2" spans="1:4" x14ac:dyDescent="0.35">
      <c r="A2" s="6">
        <v>0</v>
      </c>
      <c r="B2" s="6">
        <v>60</v>
      </c>
      <c r="C2" s="6">
        <v>4.0000000000000002E-4</v>
      </c>
      <c r="D2" s="32">
        <v>8</v>
      </c>
    </row>
    <row r="3" spans="1:4" x14ac:dyDescent="0.35">
      <c r="A3" s="6">
        <v>5</v>
      </c>
      <c r="B3" s="6">
        <v>60</v>
      </c>
      <c r="C3" s="6">
        <v>4.0000000000000002E-4</v>
      </c>
      <c r="D3" s="32">
        <v>26.12166666666667</v>
      </c>
    </row>
    <row r="4" spans="1:4" x14ac:dyDescent="0.35">
      <c r="A4" s="6">
        <v>5</v>
      </c>
      <c r="B4" s="6">
        <v>1440</v>
      </c>
      <c r="C4" s="6">
        <v>4.0000000000000002E-4</v>
      </c>
      <c r="D4" s="32">
        <v>18.361666666666665</v>
      </c>
    </row>
    <row r="5" spans="1:4" x14ac:dyDescent="0.35">
      <c r="A5" s="6">
        <v>5</v>
      </c>
      <c r="B5" s="6">
        <v>2880</v>
      </c>
      <c r="C5" s="6">
        <v>4.0000000000000002E-4</v>
      </c>
      <c r="D5" s="32">
        <v>20.376666666666669</v>
      </c>
    </row>
    <row r="6" spans="1:4" x14ac:dyDescent="0.35">
      <c r="A6" s="6">
        <v>5</v>
      </c>
      <c r="B6">
        <v>4320</v>
      </c>
      <c r="C6" s="6">
        <v>4.0000000000000002E-4</v>
      </c>
      <c r="D6" s="32">
        <v>22.398333333333337</v>
      </c>
    </row>
    <row r="7" spans="1:4" x14ac:dyDescent="0.35">
      <c r="A7" s="6">
        <v>5</v>
      </c>
      <c r="B7">
        <v>5760</v>
      </c>
      <c r="C7" s="6">
        <v>4.0000000000000002E-4</v>
      </c>
      <c r="D7" s="32">
        <v>24.656666666666666</v>
      </c>
    </row>
    <row r="8" spans="1:4" x14ac:dyDescent="0.35">
      <c r="A8" s="6">
        <v>5</v>
      </c>
      <c r="B8">
        <v>7200</v>
      </c>
      <c r="C8" s="6">
        <v>4.0000000000000002E-4</v>
      </c>
      <c r="D8" s="32">
        <v>26.039999999999996</v>
      </c>
    </row>
    <row r="9" spans="1:4" x14ac:dyDescent="0.35">
      <c r="A9" s="6">
        <v>5</v>
      </c>
      <c r="B9">
        <v>8640</v>
      </c>
      <c r="C9" s="6">
        <v>4.0000000000000002E-4</v>
      </c>
      <c r="D9" s="32">
        <v>27.876666666666669</v>
      </c>
    </row>
    <row r="10" spans="1:4" x14ac:dyDescent="0.35">
      <c r="A10" s="6">
        <v>10</v>
      </c>
      <c r="B10" s="28">
        <v>60</v>
      </c>
      <c r="C10" s="6">
        <v>4.0000000000000002E-4</v>
      </c>
      <c r="D10" s="32">
        <v>39.473684210526315</v>
      </c>
    </row>
    <row r="11" spans="1:4" x14ac:dyDescent="0.35">
      <c r="A11" s="6">
        <v>20</v>
      </c>
      <c r="B11" s="28">
        <v>60</v>
      </c>
      <c r="C11" s="6">
        <v>4.0000000000000002E-4</v>
      </c>
      <c r="D11" s="32">
        <v>83.333333333333329</v>
      </c>
    </row>
  </sheetData>
  <sortState xmlns:xlrd2="http://schemas.microsoft.com/office/spreadsheetml/2017/richdata2" ref="A2:D11">
    <sortCondition ref="A2:A11"/>
    <sortCondition ref="B2:B11"/>
    <sortCondition ref="C2:C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1EF5-0440-4F52-84A4-BAED3FAF738C}">
  <dimension ref="A1:B5"/>
  <sheetViews>
    <sheetView workbookViewId="0">
      <selection activeCell="B2" sqref="B2:B5"/>
    </sheetView>
  </sheetViews>
  <sheetFormatPr defaultRowHeight="14.5" x14ac:dyDescent="0.35"/>
  <cols>
    <col min="4" max="4" width="16.36328125" bestFit="1" customWidth="1"/>
  </cols>
  <sheetData>
    <row r="1" spans="1:2" x14ac:dyDescent="0.35">
      <c r="A1" s="3" t="s">
        <v>57</v>
      </c>
      <c r="B1" s="3" t="s">
        <v>44</v>
      </c>
    </row>
    <row r="2" spans="1:2" x14ac:dyDescent="0.35">
      <c r="A2" s="9">
        <v>-15</v>
      </c>
      <c r="B2" s="10">
        <v>0.96</v>
      </c>
    </row>
    <row r="3" spans="1:2" x14ac:dyDescent="0.35">
      <c r="A3" s="9">
        <v>-14</v>
      </c>
      <c r="B3" s="10">
        <v>1.1000000000000001</v>
      </c>
    </row>
    <row r="4" spans="1:2" x14ac:dyDescent="0.35">
      <c r="A4" s="9">
        <v>20</v>
      </c>
      <c r="B4" s="10">
        <v>0.52010000000000001</v>
      </c>
    </row>
    <row r="5" spans="1:2" x14ac:dyDescent="0.35">
      <c r="A5" s="9">
        <v>28.08</v>
      </c>
      <c r="B5" s="10">
        <v>0.55640000000000001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OneTimeInput</vt:lpstr>
      <vt:lpstr>Decay Profile</vt:lpstr>
      <vt:lpstr>Ks_Temp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AbouGhareeb</dc:creator>
  <cp:lastModifiedBy>Arwa AbouGhareeb</cp:lastModifiedBy>
  <dcterms:created xsi:type="dcterms:W3CDTF">2020-11-29T18:55:20Z</dcterms:created>
  <dcterms:modified xsi:type="dcterms:W3CDTF">2022-01-03T14:30:16Z</dcterms:modified>
</cp:coreProperties>
</file>